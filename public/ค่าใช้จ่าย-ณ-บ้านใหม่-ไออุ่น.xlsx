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สรุปภาพรวม" sheetId="1" state="visible" r:id="rId3"/>
    <sheet name="กรกฎาคม" sheetId="2" state="visible" r:id="rId4"/>
    <sheet name="สิงหาคม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8" authorId="0">
      <text>
        <r>
          <rPr>
            <sz val="10"/>
            <rFont val="FreeSans"/>
            <family val="2"/>
          </rPr>
          <t xml:space="preserve">ข้อมูลยอดขายจากไฟล์ต้นฉบับ — เดือนนี้ไม่มีการบันทึกยอดขายรายวัน มีเพียงยอดรวมทั้งเดือน</t>
        </r>
      </text>
    </comment>
  </commentList>
</comments>
</file>

<file path=xl/sharedStrings.xml><?xml version="1.0" encoding="utf-8"?>
<sst xmlns="http://schemas.openxmlformats.org/spreadsheetml/2006/main" count="66" uniqueCount="46">
  <si>
    <t xml:space="preserve">สรุปภาพรวมค่าใช้จ่าย — ณ บ้านใหม่ ไออุ่น</t>
  </si>
  <si>
    <t xml:space="preserve">เปรียบเทียบกรกฎาคม–สิงหาคม (ข้อมูลจากไฟล์ที่อัปโหลด)</t>
  </si>
  <si>
    <t xml:space="preserve">รายการ</t>
  </si>
  <si>
    <t xml:space="preserve">กรกฎาคม</t>
  </si>
  <si>
    <t xml:space="preserve">สิงหาคม*</t>
  </si>
  <si>
    <t xml:space="preserve">หมายเหตุ</t>
  </si>
  <si>
    <t xml:space="preserve">ค่าของ / ซื้อของ (วัตถุดิบ)</t>
  </si>
  <si>
    <t xml:space="preserve">น้ำแข็ง</t>
  </si>
  <si>
    <t xml:space="preserve">วี</t>
  </si>
  <si>
    <t xml:space="preserve">ค่าแรง</t>
  </si>
  <si>
    <t xml:space="preserve">เดะ</t>
  </si>
  <si>
    <t xml:space="preserve">ค่าไฟ</t>
  </si>
  <si>
    <t xml:space="preserve">ค่าเน็ต</t>
  </si>
  <si>
    <t xml:space="preserve">ค่าพนักงาน</t>
  </si>
  <si>
    <t xml:space="preserve">ค่าอุปกรณ์</t>
  </si>
  <si>
    <t xml:space="preserve">ค่าคนงาน</t>
  </si>
  <si>
    <t xml:space="preserve">ยอดขาย</t>
  </si>
  <si>
    <t xml:space="preserve">รวมค่าใช้จ่ายทั้งหมด</t>
  </si>
  <si>
    <t xml:space="preserve">กำไร (ขาดทุน) สุทธิ</t>
  </si>
  <si>
    <t xml:space="preserve">* เดือนสิงหาคม มีข้อมูลครบเฉพาะวันที่ 1-5 เท่านั้น (ข้อมูล ณ วันที่บันทึกไฟล์) ตัวเลขจึงยังไม่ใช่ยอดเต็มเดือน</t>
  </si>
  <si>
    <t xml:space="preserve">* เดือนกรกฎาคมไม่มีการบันทึกยอดขายรายวัน มีเฉพาะยอดขายรวมทั้งเดือนจากไฟล์ต้นฉบับ</t>
  </si>
  <si>
    <t xml:space="preserve">* คอลัมน์วันที่ในเดือนสิงหาคม (ไฟล์ต้นฉบับ) มีปีคลาดเคลื่อนเป็น ค.ศ. 1969 — ปรับให้แสดงเฉพาะวันในเดือนแล้ว</t>
  </si>
  <si>
    <t xml:space="preserve">* ช่องว่าง (None/สีเทา) หมายถึงหมวดนั้นไม่ได้ถูกบันทึกในเดือนนั้น ไม่ใช่ค่าเท่ากับศูนย์เสมอไป</t>
  </si>
  <si>
    <t xml:space="preserve">ค่าใช้จ่ายประจำเดือนกรกฎาคม — ณ บ้านใหม่ ไออุ่น</t>
  </si>
  <si>
    <t xml:space="preserve">ยอดยกมาจากเดือนก่อน: ค้างเดะ3090</t>
  </si>
  <si>
    <t xml:space="preserve">วันที่</t>
  </si>
  <si>
    <t xml:space="preserve">ค่าของ</t>
  </si>
  <si>
    <t xml:space="preserve">รวมรายจ่าย/วัน</t>
  </si>
  <si>
    <t xml:space="preserve">ค้างกะแว 3414 / ค้าง 3414</t>
  </si>
  <si>
    <t xml:space="preserve">คืนสูน้องสำรองจาย</t>
  </si>
  <si>
    <t xml:space="preserve">เคลียร์ยอดงด.เดะหมด</t>
  </si>
  <si>
    <t xml:space="preserve">ครบ</t>
  </si>
  <si>
    <t xml:space="preserve">คืนซา2000</t>
  </si>
  <si>
    <t xml:space="preserve">คืนซา 1000+800</t>
  </si>
  <si>
    <t xml:space="preserve">งด.เดะ4000 / สูบัด4000</t>
  </si>
  <si>
    <t xml:space="preserve">รวม</t>
  </si>
  <si>
    <t xml:space="preserve">ยอดขายทั้งเดือน</t>
  </si>
  <si>
    <t xml:space="preserve">รวมค่าใช้จ่ายทั้งเดือน</t>
  </si>
  <si>
    <t xml:space="preserve">ค่าใช้จ่ายประจำเดือนสิงหาคม — ณ บ้านใหม่ ไออุ่น</t>
  </si>
  <si>
    <t xml:space="preserve">ยอดยกมาจากเดือนก่อน: ค้าง 4000  |  หมายเหตุ: ปรับคอลัมน์วันที่ให้แสดงเฉพาะวันในเดือน เนื่องจากไฟล์ต้นฉบับมีปีคลาดเคลื่อน (แสดงเป็น ค.ศ. 1969) — โปรดตรวจสอบปีที่ถูกต้องอีกครั้ง</t>
  </si>
  <si>
    <t xml:space="preserve">ขาย</t>
  </si>
  <si>
    <t xml:space="preserve">ซื้อของ</t>
  </si>
  <si>
    <t xml:space="preserve">กำไร(ขาดทุน)/วัน</t>
  </si>
  <si>
    <t xml:space="preserve">*มัทฉะกาแฟเก็บออม7485</t>
  </si>
  <si>
    <t xml:space="preserve">จ่ายบังนัน</t>
  </si>
  <si>
    <t xml:space="preserve">* ข้อมูลเดือนสิงหาคมมีครบเฉพาะวันที่ 1-5 เท่านั้น (ข้อมูล ณ วันที่บันทึกไฟล์)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</si>
</sst>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#,##0;[RED]\(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TH Sarabun New"/>
      <family val="0"/>
      <charset val="1"/>
    </font>
    <font>
      <i val="true"/>
      <sz val="14"/>
      <color rgb="FF555555"/>
      <name val="TH Sarabun New"/>
      <family val="0"/>
      <charset val="1"/>
    </font>
    <font>
      <b val="true"/>
      <sz val="14"/>
      <color rgb="FFFFFFFF"/>
      <name val="TH Sarabun New"/>
      <family val="0"/>
      <charset val="1"/>
    </font>
    <font>
      <sz val="14"/>
      <name val="TH Sarabun New"/>
      <family val="0"/>
      <charset val="1"/>
    </font>
    <font>
      <b val="true"/>
      <sz val="14"/>
      <name val="TH Sarabun New"/>
      <family val="0"/>
      <charset val="1"/>
    </font>
    <font>
      <b val="true"/>
      <sz val="14"/>
      <color rgb="FF0000FF"/>
      <name val="TH Sarabun New"/>
      <family val="0"/>
      <charset val="1"/>
    </font>
    <font>
      <sz val="10"/>
      <name val="FreeSans"/>
      <family val="2"/>
    </font>
  </fonts>
  <fills count="5">
    <fill>
      <patternFill patternType="none"/>
    </fill>
    <fill>
      <patternFill patternType="gray125"/>
    </fill>
    <fill>
      <patternFill patternType="solid">
        <fgColor rgb="FF8B5E3C"/>
        <bgColor rgb="FF6B7A45"/>
      </patternFill>
    </fill>
    <fill>
      <patternFill patternType="solid">
        <fgColor rgb="FFF5EFE3"/>
        <bgColor rgb="FFFFFFFF"/>
      </patternFill>
    </fill>
    <fill>
      <patternFill patternType="solid">
        <fgColor rgb="FF6B7A45"/>
        <bgColor rgb="FF8B5E3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5E3C"/>
      <rgbColor rgb="FF800080"/>
      <rgbColor rgb="FF008080"/>
      <rgbColor rgb="FFBFBFBF"/>
      <rgbColor rgb="FF6B7A45"/>
      <rgbColor rgb="FF9999FF"/>
      <rgbColor rgb="FF993366"/>
      <rgbColor rgb="FFF5EFE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34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7.9" hidden="false" customHeight="true" outlineLevel="0" collapsed="false">
      <c r="A2" s="2" t="s">
        <v>1</v>
      </c>
      <c r="B2" s="2"/>
      <c r="C2" s="2"/>
      <c r="D2" s="2"/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7.9" hidden="false" customHeight="false" outlineLevel="0" collapsed="false">
      <c r="A5" s="4" t="s">
        <v>6</v>
      </c>
      <c r="B5" s="5" t="n">
        <f aca="false">กรกฎาคม!B36</f>
        <v>108659</v>
      </c>
      <c r="C5" s="5" t="n">
        <f aca="false">สิงหาคม!C36</f>
        <v>12990</v>
      </c>
      <c r="D5" s="6"/>
    </row>
    <row r="6" customFormat="false" ht="17.35" hidden="false" customHeight="false" outlineLevel="0" collapsed="false">
      <c r="A6" s="4" t="s">
        <v>7</v>
      </c>
      <c r="B6" s="5" t="n">
        <f aca="false">กรกฎาคม!C36</f>
        <v>4090</v>
      </c>
      <c r="C6" s="6"/>
      <c r="D6" s="6"/>
    </row>
    <row r="7" customFormat="false" ht="17.35" hidden="false" customHeight="false" outlineLevel="0" collapsed="false">
      <c r="A7" s="4" t="s">
        <v>8</v>
      </c>
      <c r="B7" s="5" t="n">
        <f aca="false">กรกฎาคม!D36</f>
        <v>3800</v>
      </c>
      <c r="C7" s="5" t="n">
        <f aca="false">สิงหาคม!E36</f>
        <v>500</v>
      </c>
      <c r="D7" s="6"/>
    </row>
    <row r="8" customFormat="false" ht="17.35" hidden="false" customHeight="false" outlineLevel="0" collapsed="false">
      <c r="A8" s="4" t="s">
        <v>9</v>
      </c>
      <c r="B8" s="5" t="n">
        <f aca="false">กรกฎาคม!E36</f>
        <v>25420</v>
      </c>
      <c r="C8" s="6"/>
      <c r="D8" s="6"/>
    </row>
    <row r="9" customFormat="false" ht="17.35" hidden="false" customHeight="false" outlineLevel="0" collapsed="false">
      <c r="A9" s="4" t="s">
        <v>10</v>
      </c>
      <c r="B9" s="5" t="n">
        <f aca="false">กรกฎาคม!F36</f>
        <v>7090</v>
      </c>
      <c r="C9" s="5" t="n">
        <f aca="false">สิงหาคม!F36</f>
        <v>1000</v>
      </c>
      <c r="D9" s="6"/>
    </row>
    <row r="10" customFormat="false" ht="17.35" hidden="false" customHeight="false" outlineLevel="0" collapsed="false">
      <c r="A10" s="4" t="s">
        <v>11</v>
      </c>
      <c r="B10" s="5" t="n">
        <f aca="false">กรกฎาคม!G36</f>
        <v>7272</v>
      </c>
      <c r="C10" s="6"/>
      <c r="D10" s="6"/>
    </row>
    <row r="11" customFormat="false" ht="17.35" hidden="false" customHeight="false" outlineLevel="0" collapsed="false">
      <c r="A11" s="4" t="s">
        <v>12</v>
      </c>
      <c r="B11" s="5" t="n">
        <f aca="false">กรกฎาคม!H36</f>
        <v>1068</v>
      </c>
      <c r="C11" s="6"/>
      <c r="D11" s="6"/>
    </row>
    <row r="12" customFormat="false" ht="17.35" hidden="false" customHeight="false" outlineLevel="0" collapsed="false">
      <c r="A12" s="4" t="s">
        <v>13</v>
      </c>
      <c r="B12" s="6"/>
      <c r="C12" s="5" t="n">
        <f aca="false">สิงหาคม!D36</f>
        <v>600</v>
      </c>
      <c r="D12" s="6"/>
    </row>
    <row r="13" customFormat="false" ht="17.35" hidden="false" customHeight="false" outlineLevel="0" collapsed="false">
      <c r="A13" s="4" t="s">
        <v>14</v>
      </c>
      <c r="B13" s="6"/>
      <c r="C13" s="5" t="n">
        <f aca="false">สิงหาคม!G36</f>
        <v>877</v>
      </c>
      <c r="D13" s="6"/>
    </row>
    <row r="14" customFormat="false" ht="17.35" hidden="false" customHeight="false" outlineLevel="0" collapsed="false">
      <c r="A14" s="4" t="s">
        <v>15</v>
      </c>
      <c r="B14" s="6"/>
      <c r="C14" s="5" t="n">
        <f aca="false">สิงหาคม!H36</f>
        <v>4000</v>
      </c>
      <c r="D14" s="6"/>
    </row>
    <row r="16" customFormat="false" ht="17.35" hidden="false" customHeight="false" outlineLevel="0" collapsed="false">
      <c r="A16" s="7" t="s">
        <v>16</v>
      </c>
      <c r="B16" s="8" t="n">
        <f aca="false">กรกฎาคม!D38</f>
        <v>153819</v>
      </c>
      <c r="C16" s="8" t="n">
        <f aca="false">สิงหาคม!D38</f>
        <v>22437</v>
      </c>
      <c r="D16" s="9"/>
    </row>
    <row r="17" customFormat="false" ht="17.35" hidden="false" customHeight="false" outlineLevel="0" collapsed="false">
      <c r="A17" s="7" t="s">
        <v>17</v>
      </c>
      <c r="B17" s="8" t="n">
        <f aca="false">กรกฎาคม!D39</f>
        <v>157399</v>
      </c>
      <c r="C17" s="8" t="n">
        <f aca="false">สิงหาคม!D39</f>
        <v>19967</v>
      </c>
      <c r="D17" s="9"/>
    </row>
    <row r="18" customFormat="false" ht="17.9" hidden="false" customHeight="false" outlineLevel="0" collapsed="false">
      <c r="A18" s="10" t="s">
        <v>18</v>
      </c>
      <c r="B18" s="11" t="n">
        <f aca="false">B16-B17</f>
        <v>-3580</v>
      </c>
      <c r="C18" s="11" t="n">
        <f aca="false">C16-C17</f>
        <v>2470</v>
      </c>
      <c r="D18" s="12"/>
    </row>
    <row r="20" customFormat="false" ht="18" hidden="false" customHeight="true" outlineLevel="0" collapsed="false">
      <c r="A20" s="2" t="s">
        <v>19</v>
      </c>
      <c r="B20" s="2"/>
      <c r="C20" s="2"/>
      <c r="D20" s="2"/>
    </row>
    <row r="21" customFormat="false" ht="18" hidden="false" customHeight="true" outlineLevel="0" collapsed="false">
      <c r="A21" s="2" t="s">
        <v>20</v>
      </c>
      <c r="B21" s="2"/>
      <c r="C21" s="2"/>
      <c r="D21" s="2"/>
    </row>
    <row r="22" customFormat="false" ht="18" hidden="false" customHeight="true" outlineLevel="0" collapsed="false">
      <c r="A22" s="2" t="s">
        <v>21</v>
      </c>
      <c r="B22" s="2"/>
      <c r="C22" s="2"/>
      <c r="D22" s="2"/>
    </row>
    <row r="23" customFormat="false" ht="18" hidden="false" customHeight="true" outlineLevel="0" collapsed="false">
      <c r="A23" s="2" t="s">
        <v>22</v>
      </c>
      <c r="B23" s="2"/>
      <c r="C23" s="2"/>
      <c r="D23" s="2"/>
    </row>
  </sheetData>
  <mergeCells count="6">
    <mergeCell ref="A1:D1"/>
    <mergeCell ref="A2:D2"/>
    <mergeCell ref="A20:D20"/>
    <mergeCell ref="A21:D21"/>
    <mergeCell ref="A22:D22"/>
    <mergeCell ref="A23:D2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9" min="2" style="0" width="13"/>
    <col collapsed="false" customWidth="true" hidden="false" outlineLevel="0" max="10" min="10" style="0" width="32"/>
  </cols>
  <sheetData>
    <row r="1" customFormat="false" ht="25.5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3" t="s">
        <v>25</v>
      </c>
      <c r="B4" s="3" t="s">
        <v>26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27</v>
      </c>
      <c r="J4" s="3" t="s">
        <v>5</v>
      </c>
    </row>
    <row r="5" customFormat="false" ht="17.35" hidden="false" customHeight="false" outlineLevel="0" collapsed="false">
      <c r="A5" s="6" t="n">
        <v>1</v>
      </c>
      <c r="B5" s="5" t="n">
        <f aca="false">5309-120</f>
        <v>5189</v>
      </c>
      <c r="C5" s="5" t="n">
        <v>120</v>
      </c>
      <c r="D5" s="5" t="n">
        <v>100</v>
      </c>
      <c r="E5" s="5" t="n">
        <v>400</v>
      </c>
      <c r="F5" s="5"/>
      <c r="G5" s="5"/>
      <c r="H5" s="5"/>
      <c r="I5" s="5" t="n">
        <f aca="false">SUM(B5:H5)</f>
        <v>5809</v>
      </c>
      <c r="J5" s="13"/>
    </row>
    <row r="6" customFormat="false" ht="17.35" hidden="false" customHeight="false" outlineLevel="0" collapsed="false">
      <c r="A6" s="6" t="n">
        <v>2</v>
      </c>
      <c r="B6" s="5" t="n">
        <v>810</v>
      </c>
      <c r="C6" s="5" t="n">
        <v>80</v>
      </c>
      <c r="D6" s="5" t="n">
        <v>100</v>
      </c>
      <c r="E6" s="5" t="n">
        <v>1100</v>
      </c>
      <c r="F6" s="5" t="n">
        <v>1090</v>
      </c>
      <c r="G6" s="5"/>
      <c r="H6" s="5"/>
      <c r="I6" s="5" t="n">
        <f aca="false">SUM(B6:H6)</f>
        <v>3180</v>
      </c>
      <c r="J6" s="13"/>
    </row>
    <row r="7" customFormat="false" ht="17.35" hidden="false" customHeight="false" outlineLevel="0" collapsed="false">
      <c r="A7" s="6" t="n">
        <v>3</v>
      </c>
      <c r="B7" s="5"/>
      <c r="C7" s="5"/>
      <c r="D7" s="5"/>
      <c r="E7" s="5"/>
      <c r="F7" s="5"/>
      <c r="G7" s="5"/>
      <c r="H7" s="5"/>
      <c r="I7" s="5" t="n">
        <f aca="false">SUM(B7:H7)</f>
        <v>0</v>
      </c>
      <c r="J7" s="13"/>
    </row>
    <row r="8" customFormat="false" ht="17.9" hidden="false" customHeight="false" outlineLevel="0" collapsed="false">
      <c r="A8" s="6" t="n">
        <v>4</v>
      </c>
      <c r="B8" s="5" t="n">
        <v>787</v>
      </c>
      <c r="C8" s="5" t="n">
        <v>240</v>
      </c>
      <c r="D8" s="5" t="n">
        <v>100</v>
      </c>
      <c r="E8" s="5" t="n">
        <v>300</v>
      </c>
      <c r="F8" s="5"/>
      <c r="G8" s="5"/>
      <c r="H8" s="5"/>
      <c r="I8" s="5" t="n">
        <f aca="false">SUM(B8:H8)</f>
        <v>1427</v>
      </c>
      <c r="J8" s="13" t="s">
        <v>28</v>
      </c>
    </row>
    <row r="9" customFormat="false" ht="17.35" hidden="false" customHeight="false" outlineLevel="0" collapsed="false">
      <c r="A9" s="6" t="n">
        <v>5</v>
      </c>
      <c r="B9" s="5" t="n">
        <v>9779</v>
      </c>
      <c r="C9" s="5" t="n">
        <v>160</v>
      </c>
      <c r="D9" s="5" t="n">
        <v>100</v>
      </c>
      <c r="E9" s="5" t="n">
        <v>700</v>
      </c>
      <c r="F9" s="5"/>
      <c r="G9" s="5"/>
      <c r="H9" s="5"/>
      <c r="I9" s="5" t="n">
        <f aca="false">SUM(B9:H9)</f>
        <v>10739</v>
      </c>
      <c r="J9" s="13"/>
    </row>
    <row r="10" customFormat="false" ht="17.35" hidden="false" customHeight="false" outlineLevel="0" collapsed="false">
      <c r="A10" s="6" t="n">
        <v>6</v>
      </c>
      <c r="B10" s="5" t="n">
        <f aca="false">3655+2138</f>
        <v>5793</v>
      </c>
      <c r="C10" s="5" t="n">
        <v>160</v>
      </c>
      <c r="D10" s="5" t="n">
        <v>100</v>
      </c>
      <c r="E10" s="5" t="n">
        <v>300</v>
      </c>
      <c r="F10" s="5"/>
      <c r="G10" s="5"/>
      <c r="H10" s="5"/>
      <c r="I10" s="5" t="n">
        <f aca="false">SUM(B10:H10)</f>
        <v>6353</v>
      </c>
      <c r="J10" s="13" t="s">
        <v>29</v>
      </c>
    </row>
    <row r="11" customFormat="false" ht="17.35" hidden="false" customHeight="false" outlineLevel="0" collapsed="false">
      <c r="A11" s="6" t="n">
        <v>7</v>
      </c>
      <c r="B11" s="5" t="n">
        <v>2024</v>
      </c>
      <c r="C11" s="5" t="n">
        <v>160</v>
      </c>
      <c r="D11" s="5" t="n">
        <v>100</v>
      </c>
      <c r="E11" s="5"/>
      <c r="F11" s="5" t="n">
        <v>1000</v>
      </c>
      <c r="G11" s="5"/>
      <c r="H11" s="5"/>
      <c r="I11" s="5" t="n">
        <f aca="false">SUM(B11:H11)</f>
        <v>3284</v>
      </c>
      <c r="J11" s="13"/>
    </row>
    <row r="12" customFormat="false" ht="17.9" hidden="false" customHeight="false" outlineLevel="0" collapsed="false">
      <c r="A12" s="6" t="n">
        <v>8</v>
      </c>
      <c r="B12" s="5" t="n">
        <v>2043</v>
      </c>
      <c r="C12" s="5" t="n">
        <v>120</v>
      </c>
      <c r="D12" s="5" t="n">
        <v>100</v>
      </c>
      <c r="E12" s="5" t="n">
        <v>80</v>
      </c>
      <c r="F12" s="5" t="n">
        <v>1000</v>
      </c>
      <c r="G12" s="5"/>
      <c r="H12" s="5"/>
      <c r="I12" s="5" t="n">
        <f aca="false">SUM(B12:H12)</f>
        <v>3343</v>
      </c>
      <c r="J12" s="13" t="s">
        <v>30</v>
      </c>
    </row>
    <row r="13" customFormat="false" ht="17.35" hidden="false" customHeight="false" outlineLevel="0" collapsed="false">
      <c r="A13" s="6" t="n">
        <v>9</v>
      </c>
      <c r="B13" s="5" t="n">
        <v>1914</v>
      </c>
      <c r="C13" s="5" t="n">
        <v>120</v>
      </c>
      <c r="D13" s="5" t="n">
        <v>100</v>
      </c>
      <c r="E13" s="5" t="n">
        <v>4320</v>
      </c>
      <c r="F13" s="5" t="s">
        <v>31</v>
      </c>
      <c r="G13" s="5"/>
      <c r="H13" s="5"/>
      <c r="I13" s="5" t="n">
        <f aca="false">SUM(B13:H13)</f>
        <v>6454</v>
      </c>
      <c r="J13" s="13"/>
    </row>
    <row r="14" customFormat="false" ht="17.35" hidden="false" customHeight="false" outlineLevel="0" collapsed="false">
      <c r="A14" s="6" t="n">
        <v>10</v>
      </c>
      <c r="B14" s="5"/>
      <c r="C14" s="5"/>
      <c r="D14" s="5"/>
      <c r="E14" s="5"/>
      <c r="F14" s="5"/>
      <c r="G14" s="5"/>
      <c r="H14" s="5"/>
      <c r="I14" s="5" t="n">
        <f aca="false">SUM(B14:H14)</f>
        <v>0</v>
      </c>
      <c r="J14" s="13"/>
    </row>
    <row r="15" customFormat="false" ht="17.35" hidden="false" customHeight="false" outlineLevel="0" collapsed="false">
      <c r="A15" s="6" t="n">
        <v>11</v>
      </c>
      <c r="B15" s="5" t="n">
        <v>6225</v>
      </c>
      <c r="C15" s="5" t="n">
        <v>200</v>
      </c>
      <c r="D15" s="5" t="n">
        <v>200</v>
      </c>
      <c r="E15" s="5"/>
      <c r="F15" s="5"/>
      <c r="G15" s="5"/>
      <c r="H15" s="5"/>
      <c r="I15" s="5" t="n">
        <f aca="false">SUM(B15:H15)</f>
        <v>6625</v>
      </c>
      <c r="J15" s="13"/>
    </row>
    <row r="16" customFormat="false" ht="17.35" hidden="false" customHeight="false" outlineLevel="0" collapsed="false">
      <c r="A16" s="6" t="n">
        <v>12</v>
      </c>
      <c r="B16" s="5" t="n">
        <v>3246</v>
      </c>
      <c r="C16" s="5" t="n">
        <v>160</v>
      </c>
      <c r="D16" s="5" t="n">
        <v>100</v>
      </c>
      <c r="E16" s="5"/>
      <c r="F16" s="5"/>
      <c r="G16" s="5"/>
      <c r="H16" s="5"/>
      <c r="I16" s="5" t="n">
        <f aca="false">SUM(B16:H16)</f>
        <v>3506</v>
      </c>
      <c r="J16" s="13"/>
    </row>
    <row r="17" customFormat="false" ht="17.35" hidden="false" customHeight="false" outlineLevel="0" collapsed="false">
      <c r="A17" s="6" t="n">
        <v>13</v>
      </c>
      <c r="B17" s="5" t="n">
        <v>3606</v>
      </c>
      <c r="C17" s="5" t="n">
        <v>160</v>
      </c>
      <c r="D17" s="5" t="n">
        <v>100</v>
      </c>
      <c r="E17" s="5" t="n">
        <v>600</v>
      </c>
      <c r="F17" s="5"/>
      <c r="G17" s="5"/>
      <c r="H17" s="5"/>
      <c r="I17" s="5" t="n">
        <f aca="false">SUM(B17:H17)</f>
        <v>4466</v>
      </c>
      <c r="J17" s="13"/>
    </row>
    <row r="18" customFormat="false" ht="17.9" hidden="false" customHeight="false" outlineLevel="0" collapsed="false">
      <c r="A18" s="6" t="n">
        <v>14</v>
      </c>
      <c r="B18" s="5" t="n">
        <v>2940</v>
      </c>
      <c r="C18" s="5" t="n">
        <v>160</v>
      </c>
      <c r="D18" s="5" t="n">
        <v>100</v>
      </c>
      <c r="E18" s="5" t="n">
        <v>90</v>
      </c>
      <c r="F18" s="5"/>
      <c r="G18" s="5" t="n">
        <v>3272</v>
      </c>
      <c r="H18" s="5"/>
      <c r="I18" s="5" t="n">
        <f aca="false">SUM(B18:H18)</f>
        <v>6562</v>
      </c>
      <c r="J18" s="13" t="s">
        <v>32</v>
      </c>
    </row>
    <row r="19" customFormat="false" ht="17.35" hidden="false" customHeight="false" outlineLevel="0" collapsed="false">
      <c r="A19" s="6" t="n">
        <v>15</v>
      </c>
      <c r="B19" s="5" t="n">
        <v>3809</v>
      </c>
      <c r="C19" s="5" t="n">
        <v>120</v>
      </c>
      <c r="D19" s="5" t="n">
        <v>100</v>
      </c>
      <c r="E19" s="5" t="n">
        <v>100</v>
      </c>
      <c r="F19" s="5"/>
      <c r="G19" s="5"/>
      <c r="H19" s="5"/>
      <c r="I19" s="5" t="n">
        <f aca="false">SUM(B19:H19)</f>
        <v>4129</v>
      </c>
      <c r="J19" s="13"/>
    </row>
    <row r="20" customFormat="false" ht="17.9" hidden="false" customHeight="false" outlineLevel="0" collapsed="false">
      <c r="A20" s="6" t="n">
        <v>16</v>
      </c>
      <c r="B20" s="5" t="n">
        <v>3821</v>
      </c>
      <c r="C20" s="5" t="n">
        <v>160</v>
      </c>
      <c r="D20" s="5" t="n">
        <v>100</v>
      </c>
      <c r="E20" s="5" t="n">
        <v>5300</v>
      </c>
      <c r="F20" s="5"/>
      <c r="G20" s="5"/>
      <c r="H20" s="5"/>
      <c r="I20" s="5" t="n">
        <f aca="false">SUM(B20:H20)</f>
        <v>9381</v>
      </c>
      <c r="J20" s="13" t="s">
        <v>33</v>
      </c>
    </row>
    <row r="21" customFormat="false" ht="17.35" hidden="false" customHeight="false" outlineLevel="0" collapsed="false">
      <c r="A21" s="6" t="n">
        <v>17</v>
      </c>
      <c r="B21" s="5"/>
      <c r="C21" s="5"/>
      <c r="D21" s="5"/>
      <c r="E21" s="5"/>
      <c r="F21" s="5"/>
      <c r="G21" s="5"/>
      <c r="H21" s="5"/>
      <c r="I21" s="5" t="n">
        <f aca="false">SUM(B21:H21)</f>
        <v>0</v>
      </c>
      <c r="J21" s="13"/>
    </row>
    <row r="22" customFormat="false" ht="17.35" hidden="false" customHeight="false" outlineLevel="0" collapsed="false">
      <c r="A22" s="6" t="n">
        <v>18</v>
      </c>
      <c r="B22" s="5" t="n">
        <v>7561</v>
      </c>
      <c r="C22" s="5" t="n">
        <v>200</v>
      </c>
      <c r="D22" s="5" t="n">
        <v>200</v>
      </c>
      <c r="E22" s="5" t="n">
        <v>220</v>
      </c>
      <c r="F22" s="5"/>
      <c r="G22" s="5"/>
      <c r="H22" s="5"/>
      <c r="I22" s="5" t="n">
        <f aca="false">SUM(B22:H22)</f>
        <v>8181</v>
      </c>
      <c r="J22" s="13"/>
    </row>
    <row r="23" customFormat="false" ht="17.35" hidden="false" customHeight="false" outlineLevel="0" collapsed="false">
      <c r="A23" s="6" t="n">
        <v>19</v>
      </c>
      <c r="B23" s="5" t="n">
        <v>7748</v>
      </c>
      <c r="C23" s="5" t="n">
        <v>160</v>
      </c>
      <c r="D23" s="5" t="n">
        <v>100</v>
      </c>
      <c r="E23" s="5" t="n">
        <v>510</v>
      </c>
      <c r="F23" s="5"/>
      <c r="G23" s="5"/>
      <c r="H23" s="5" t="n">
        <v>1068</v>
      </c>
      <c r="I23" s="5" t="n">
        <f aca="false">SUM(B23:H23)</f>
        <v>9586</v>
      </c>
      <c r="J23" s="13"/>
    </row>
    <row r="24" customFormat="false" ht="17.35" hidden="false" customHeight="false" outlineLevel="0" collapsed="false">
      <c r="A24" s="6" t="n">
        <v>20</v>
      </c>
      <c r="B24" s="5" t="n">
        <v>4659</v>
      </c>
      <c r="C24" s="5" t="n">
        <v>210</v>
      </c>
      <c r="D24" s="5" t="n">
        <v>100</v>
      </c>
      <c r="E24" s="5"/>
      <c r="F24" s="5"/>
      <c r="G24" s="5"/>
      <c r="H24" s="5"/>
      <c r="I24" s="5" t="n">
        <f aca="false">SUM(B24:H24)</f>
        <v>4969</v>
      </c>
      <c r="J24" s="13"/>
    </row>
    <row r="25" customFormat="false" ht="17.35" hidden="false" customHeight="false" outlineLevel="0" collapsed="false">
      <c r="A25" s="6" t="n">
        <v>21</v>
      </c>
      <c r="B25" s="5" t="n">
        <v>1730</v>
      </c>
      <c r="C25" s="5" t="n">
        <v>160</v>
      </c>
      <c r="D25" s="5" t="n">
        <v>100</v>
      </c>
      <c r="E25" s="5"/>
      <c r="F25" s="5"/>
      <c r="G25" s="5"/>
      <c r="H25" s="5"/>
      <c r="I25" s="5" t="n">
        <f aca="false">SUM(B25:H25)</f>
        <v>1990</v>
      </c>
      <c r="J25" s="13"/>
    </row>
    <row r="26" customFormat="false" ht="17.35" hidden="false" customHeight="false" outlineLevel="0" collapsed="false">
      <c r="A26" s="6" t="n">
        <v>22</v>
      </c>
      <c r="B26" s="5" t="n">
        <v>1146</v>
      </c>
      <c r="C26" s="5" t="n">
        <v>120</v>
      </c>
      <c r="D26" s="5" t="n">
        <v>100</v>
      </c>
      <c r="E26" s="5"/>
      <c r="F26" s="5"/>
      <c r="G26" s="5"/>
      <c r="H26" s="5"/>
      <c r="I26" s="5" t="n">
        <f aca="false">SUM(B26:H26)</f>
        <v>1366</v>
      </c>
      <c r="J26" s="13"/>
    </row>
    <row r="27" customFormat="false" ht="17.35" hidden="false" customHeight="false" outlineLevel="0" collapsed="false">
      <c r="A27" s="6" t="n">
        <v>23</v>
      </c>
      <c r="B27" s="5" t="n">
        <v>1362</v>
      </c>
      <c r="C27" s="5" t="n">
        <v>120</v>
      </c>
      <c r="D27" s="5" t="n">
        <v>100</v>
      </c>
      <c r="E27" s="5" t="n">
        <v>5100</v>
      </c>
      <c r="F27" s="5"/>
      <c r="G27" s="5"/>
      <c r="H27" s="5"/>
      <c r="I27" s="5" t="n">
        <f aca="false">SUM(B27:H27)</f>
        <v>6682</v>
      </c>
      <c r="J27" s="13"/>
    </row>
    <row r="28" customFormat="false" ht="17.35" hidden="false" customHeight="false" outlineLevel="0" collapsed="false">
      <c r="A28" s="6" t="n">
        <v>24</v>
      </c>
      <c r="B28" s="5"/>
      <c r="C28" s="5"/>
      <c r="D28" s="5"/>
      <c r="E28" s="5"/>
      <c r="F28" s="5"/>
      <c r="G28" s="5"/>
      <c r="H28" s="5"/>
      <c r="I28" s="5" t="n">
        <f aca="false">SUM(B28:H28)</f>
        <v>0</v>
      </c>
      <c r="J28" s="13"/>
    </row>
    <row r="29" customFormat="false" ht="17.35" hidden="false" customHeight="false" outlineLevel="0" collapsed="false">
      <c r="A29" s="6" t="n">
        <v>25</v>
      </c>
      <c r="B29" s="5" t="n">
        <v>7728</v>
      </c>
      <c r="C29" s="5" t="n">
        <v>200</v>
      </c>
      <c r="D29" s="5" t="n">
        <v>100</v>
      </c>
      <c r="E29" s="5"/>
      <c r="F29" s="5"/>
      <c r="G29" s="5"/>
      <c r="H29" s="5"/>
      <c r="I29" s="5" t="n">
        <f aca="false">SUM(B29:H29)</f>
        <v>8028</v>
      </c>
      <c r="J29" s="13"/>
    </row>
    <row r="30" customFormat="false" ht="17.35" hidden="false" customHeight="false" outlineLevel="0" collapsed="false">
      <c r="A30" s="6" t="n">
        <v>26</v>
      </c>
      <c r="B30" s="5" t="n">
        <v>1801</v>
      </c>
      <c r="C30" s="5" t="n">
        <v>160</v>
      </c>
      <c r="D30" s="5" t="n">
        <v>100</v>
      </c>
      <c r="E30" s="5" t="n">
        <v>600</v>
      </c>
      <c r="F30" s="5"/>
      <c r="G30" s="5"/>
      <c r="H30" s="5"/>
      <c r="I30" s="5" t="n">
        <f aca="false">SUM(B30:H30)</f>
        <v>2661</v>
      </c>
      <c r="J30" s="13"/>
    </row>
    <row r="31" customFormat="false" ht="17.35" hidden="false" customHeight="false" outlineLevel="0" collapsed="false">
      <c r="A31" s="6" t="n">
        <v>27</v>
      </c>
      <c r="B31" s="5" t="n">
        <v>5780</v>
      </c>
      <c r="C31" s="5" t="n">
        <v>120</v>
      </c>
      <c r="D31" s="5" t="n">
        <v>100</v>
      </c>
      <c r="E31" s="5" t="n">
        <v>100</v>
      </c>
      <c r="F31" s="5"/>
      <c r="G31" s="5"/>
      <c r="H31" s="5"/>
      <c r="I31" s="5" t="n">
        <f aca="false">SUM(B31:H31)</f>
        <v>6100</v>
      </c>
      <c r="J31" s="13"/>
    </row>
    <row r="32" customFormat="false" ht="17.35" hidden="false" customHeight="false" outlineLevel="0" collapsed="false">
      <c r="A32" s="6" t="n">
        <v>28</v>
      </c>
      <c r="B32" s="5" t="n">
        <v>3880</v>
      </c>
      <c r="C32" s="5" t="n">
        <v>160</v>
      </c>
      <c r="D32" s="5" t="n">
        <v>100</v>
      </c>
      <c r="E32" s="5"/>
      <c r="F32" s="5"/>
      <c r="G32" s="5"/>
      <c r="H32" s="5"/>
      <c r="I32" s="5" t="n">
        <f aca="false">SUM(B32:H32)</f>
        <v>4140</v>
      </c>
      <c r="J32" s="13"/>
    </row>
    <row r="33" customFormat="false" ht="17.35" hidden="false" customHeight="false" outlineLevel="0" collapsed="false">
      <c r="A33" s="6" t="n">
        <v>29</v>
      </c>
      <c r="B33" s="5" t="n">
        <v>8995</v>
      </c>
      <c r="C33" s="5" t="n">
        <v>160</v>
      </c>
      <c r="D33" s="5" t="n">
        <v>100</v>
      </c>
      <c r="E33" s="5" t="n">
        <v>2100</v>
      </c>
      <c r="F33" s="5"/>
      <c r="G33" s="5"/>
      <c r="H33" s="5"/>
      <c r="I33" s="5" t="n">
        <f aca="false">SUM(B33:H33)</f>
        <v>11355</v>
      </c>
      <c r="J33" s="13"/>
    </row>
    <row r="34" customFormat="false" ht="17.9" hidden="false" customHeight="false" outlineLevel="0" collapsed="false">
      <c r="A34" s="6" t="n">
        <v>30</v>
      </c>
      <c r="B34" s="5" t="n">
        <v>4283</v>
      </c>
      <c r="C34" s="5" t="n">
        <v>200</v>
      </c>
      <c r="D34" s="5" t="n">
        <v>1100</v>
      </c>
      <c r="E34" s="5" t="n">
        <v>3500</v>
      </c>
      <c r="F34" s="5" t="n">
        <v>4000</v>
      </c>
      <c r="G34" s="5" t="n">
        <v>4000</v>
      </c>
      <c r="H34" s="5"/>
      <c r="I34" s="5" t="n">
        <f aca="false">SUM(B34:H34)</f>
        <v>17083</v>
      </c>
      <c r="J34" s="13" t="s">
        <v>34</v>
      </c>
    </row>
    <row r="35" customFormat="false" ht="17.35" hidden="false" customHeight="false" outlineLevel="0" collapsed="false">
      <c r="A35" s="6" t="n">
        <v>31</v>
      </c>
      <c r="B35" s="5"/>
      <c r="C35" s="5"/>
      <c r="D35" s="5"/>
      <c r="E35" s="5"/>
      <c r="F35" s="5"/>
      <c r="G35" s="5"/>
      <c r="H35" s="5"/>
      <c r="I35" s="5" t="n">
        <f aca="false">SUM(B35:H35)</f>
        <v>0</v>
      </c>
      <c r="J35" s="13"/>
    </row>
    <row r="36" customFormat="false" ht="17.35" hidden="false" customHeight="false" outlineLevel="0" collapsed="false">
      <c r="A36" s="9" t="s">
        <v>35</v>
      </c>
      <c r="B36" s="8" t="n">
        <f aca="false">SUM(B5:B35)</f>
        <v>108659</v>
      </c>
      <c r="C36" s="8" t="n">
        <f aca="false">SUM(C5:C35)</f>
        <v>4090</v>
      </c>
      <c r="D36" s="8" t="n">
        <f aca="false">SUM(D5:D35)</f>
        <v>3800</v>
      </c>
      <c r="E36" s="8" t="n">
        <f aca="false">SUM(E5:E35)</f>
        <v>25420</v>
      </c>
      <c r="F36" s="8" t="n">
        <f aca="false">SUM(F5:F35)</f>
        <v>7090</v>
      </c>
      <c r="G36" s="8" t="n">
        <f aca="false">SUM(G5:G35)</f>
        <v>7272</v>
      </c>
      <c r="H36" s="8" t="n">
        <f aca="false">SUM(H5:H35)</f>
        <v>1068</v>
      </c>
      <c r="I36" s="8" t="n">
        <f aca="false">SUM(I5:I35)</f>
        <v>157399</v>
      </c>
      <c r="J36" s="9"/>
    </row>
    <row r="38" customFormat="false" ht="17.35" hidden="false" customHeight="false" outlineLevel="0" collapsed="false">
      <c r="A38" s="14" t="s">
        <v>36</v>
      </c>
      <c r="B38" s="14"/>
      <c r="C38" s="14"/>
      <c r="D38" s="15" t="n">
        <v>153819</v>
      </c>
    </row>
    <row r="39" customFormat="false" ht="17.35" hidden="false" customHeight="false" outlineLevel="0" collapsed="false">
      <c r="A39" s="14" t="s">
        <v>37</v>
      </c>
      <c r="B39" s="14"/>
      <c r="C39" s="14"/>
      <c r="D39" s="16" t="n">
        <f aca="false">I36</f>
        <v>157399</v>
      </c>
    </row>
    <row r="40" customFormat="false" ht="17.9" hidden="false" customHeight="false" outlineLevel="0" collapsed="false">
      <c r="A40" s="14" t="s">
        <v>18</v>
      </c>
      <c r="B40" s="14"/>
      <c r="C40" s="14"/>
      <c r="D40" s="17" t="n">
        <f aca="false">D38-D39</f>
        <v>-3580</v>
      </c>
    </row>
  </sheetData>
  <mergeCells count="5">
    <mergeCell ref="A1:J1"/>
    <mergeCell ref="A2:J2"/>
    <mergeCell ref="A38:C38"/>
    <mergeCell ref="A39:C39"/>
    <mergeCell ref="A40:C40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0" min="2" style="0" width="13"/>
    <col collapsed="false" customWidth="true" hidden="false" outlineLevel="0" max="11" min="11" style="0" width="32"/>
  </cols>
  <sheetData>
    <row r="1" customFormat="false" ht="25.5" hidden="false" customHeight="true" outlineLevel="0" collapsed="false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0" hidden="false" customHeight="true" outlineLevel="0" collapsed="false">
      <c r="A4" s="3" t="s">
        <v>25</v>
      </c>
      <c r="B4" s="3" t="s">
        <v>40</v>
      </c>
      <c r="C4" s="3" t="s">
        <v>41</v>
      </c>
      <c r="D4" s="3" t="s">
        <v>13</v>
      </c>
      <c r="E4" s="3" t="s">
        <v>8</v>
      </c>
      <c r="F4" s="3" t="s">
        <v>10</v>
      </c>
      <c r="G4" s="3" t="s">
        <v>14</v>
      </c>
      <c r="H4" s="3" t="s">
        <v>15</v>
      </c>
      <c r="I4" s="3" t="s">
        <v>27</v>
      </c>
      <c r="J4" s="3" t="s">
        <v>42</v>
      </c>
      <c r="K4" s="3" t="s">
        <v>5</v>
      </c>
    </row>
    <row r="5" customFormat="false" ht="17.35" hidden="false" customHeight="false" outlineLevel="0" collapsed="false">
      <c r="A5" s="6" t="n">
        <v>1</v>
      </c>
      <c r="B5" s="5" t="n">
        <v>4727</v>
      </c>
      <c r="C5" s="5" t="n">
        <v>350</v>
      </c>
      <c r="D5" s="5"/>
      <c r="E5" s="5" t="n">
        <v>100</v>
      </c>
      <c r="F5" s="5"/>
      <c r="G5" s="5"/>
      <c r="H5" s="5"/>
      <c r="I5" s="5" t="n">
        <f aca="false">SUM(C5:H5)</f>
        <v>450</v>
      </c>
      <c r="J5" s="5" t="n">
        <f aca="false">B5-I5</f>
        <v>4277</v>
      </c>
      <c r="K5" s="13"/>
    </row>
    <row r="6" customFormat="false" ht="17.35" hidden="false" customHeight="false" outlineLevel="0" collapsed="false">
      <c r="A6" s="6" t="n">
        <v>2</v>
      </c>
      <c r="B6" s="5" t="n">
        <v>5439</v>
      </c>
      <c r="C6" s="5" t="n">
        <v>933</v>
      </c>
      <c r="D6" s="5" t="n">
        <v>600</v>
      </c>
      <c r="E6" s="5"/>
      <c r="F6" s="5" t="n">
        <v>1000</v>
      </c>
      <c r="G6" s="5" t="n">
        <v>877</v>
      </c>
      <c r="H6" s="5"/>
      <c r="I6" s="5" t="n">
        <f aca="false">SUM(C6:H6)</f>
        <v>3410</v>
      </c>
      <c r="J6" s="5" t="n">
        <f aca="false">B6-I6</f>
        <v>2029</v>
      </c>
      <c r="K6" s="13"/>
    </row>
    <row r="7" customFormat="false" ht="17.35" hidden="false" customHeight="false" outlineLevel="0" collapsed="false">
      <c r="A7" s="6" t="n">
        <v>3</v>
      </c>
      <c r="B7" s="5" t="n">
        <v>5999</v>
      </c>
      <c r="C7" s="5" t="n">
        <v>2080</v>
      </c>
      <c r="D7" s="5"/>
      <c r="E7" s="5" t="n">
        <v>200</v>
      </c>
      <c r="F7" s="5"/>
      <c r="G7" s="5"/>
      <c r="H7" s="5"/>
      <c r="I7" s="5" t="n">
        <f aca="false">SUM(C7:H7)</f>
        <v>2280</v>
      </c>
      <c r="J7" s="5" t="n">
        <f aca="false">B7-I7</f>
        <v>3719</v>
      </c>
      <c r="K7" s="13"/>
    </row>
    <row r="8" customFormat="false" ht="17.9" hidden="false" customHeight="false" outlineLevel="0" collapsed="false">
      <c r="A8" s="6" t="n">
        <v>4</v>
      </c>
      <c r="B8" s="5" t="n">
        <v>1422</v>
      </c>
      <c r="C8" s="5" t="n">
        <v>9337</v>
      </c>
      <c r="D8" s="5"/>
      <c r="E8" s="5" t="n">
        <v>100</v>
      </c>
      <c r="F8" s="5"/>
      <c r="G8" s="5"/>
      <c r="H8" s="5"/>
      <c r="I8" s="5" t="n">
        <f aca="false">SUM(C8:H8)</f>
        <v>9437</v>
      </c>
      <c r="J8" s="5" t="n">
        <f aca="false">B8-I8</f>
        <v>-8015</v>
      </c>
      <c r="K8" s="13" t="s">
        <v>43</v>
      </c>
    </row>
    <row r="9" customFormat="false" ht="17.35" hidden="false" customHeight="false" outlineLevel="0" collapsed="false">
      <c r="A9" s="6" t="n">
        <v>5</v>
      </c>
      <c r="B9" s="5" t="n">
        <v>4850</v>
      </c>
      <c r="C9" s="5" t="n">
        <v>290</v>
      </c>
      <c r="D9" s="5"/>
      <c r="E9" s="5" t="n">
        <v>100</v>
      </c>
      <c r="F9" s="5"/>
      <c r="G9" s="5"/>
      <c r="H9" s="5" t="n">
        <v>4000</v>
      </c>
      <c r="I9" s="5" t="n">
        <f aca="false">SUM(C9:H9)</f>
        <v>4390</v>
      </c>
      <c r="J9" s="5" t="n">
        <f aca="false">B9-I9</f>
        <v>460</v>
      </c>
      <c r="K9" s="13" t="s">
        <v>44</v>
      </c>
    </row>
    <row r="10" customFormat="false" ht="17.35" hidden="false" customHeight="false" outlineLevel="0" collapsed="false">
      <c r="A10" s="6" t="n">
        <v>6</v>
      </c>
      <c r="B10" s="5"/>
      <c r="C10" s="5"/>
      <c r="D10" s="5"/>
      <c r="E10" s="5"/>
      <c r="F10" s="5"/>
      <c r="G10" s="5"/>
      <c r="H10" s="5"/>
      <c r="I10" s="5" t="n">
        <f aca="false">SUM(C10:H10)</f>
        <v>0</v>
      </c>
      <c r="J10" s="5" t="n">
        <f aca="false">B10-I10</f>
        <v>0</v>
      </c>
      <c r="K10" s="13"/>
    </row>
    <row r="11" customFormat="false" ht="17.35" hidden="false" customHeight="false" outlineLevel="0" collapsed="false">
      <c r="A11" s="6" t="n">
        <v>7</v>
      </c>
      <c r="B11" s="5"/>
      <c r="C11" s="5"/>
      <c r="D11" s="5"/>
      <c r="E11" s="5"/>
      <c r="F11" s="5"/>
      <c r="G11" s="5"/>
      <c r="H11" s="5"/>
      <c r="I11" s="5" t="n">
        <f aca="false">SUM(C11:H11)</f>
        <v>0</v>
      </c>
      <c r="J11" s="5" t="n">
        <f aca="false">B11-I11</f>
        <v>0</v>
      </c>
      <c r="K11" s="13"/>
    </row>
    <row r="12" customFormat="false" ht="17.35" hidden="false" customHeight="false" outlineLevel="0" collapsed="false">
      <c r="A12" s="6" t="n">
        <v>8</v>
      </c>
      <c r="B12" s="5"/>
      <c r="C12" s="5"/>
      <c r="D12" s="5"/>
      <c r="E12" s="5"/>
      <c r="F12" s="5"/>
      <c r="G12" s="5"/>
      <c r="H12" s="5"/>
      <c r="I12" s="5" t="n">
        <f aca="false">SUM(C12:H12)</f>
        <v>0</v>
      </c>
      <c r="J12" s="5" t="n">
        <f aca="false">B12-I12</f>
        <v>0</v>
      </c>
      <c r="K12" s="13"/>
    </row>
    <row r="13" customFormat="false" ht="17.35" hidden="false" customHeight="false" outlineLevel="0" collapsed="false">
      <c r="A13" s="6" t="n">
        <v>9</v>
      </c>
      <c r="B13" s="5"/>
      <c r="C13" s="5"/>
      <c r="D13" s="5"/>
      <c r="E13" s="5"/>
      <c r="F13" s="5"/>
      <c r="G13" s="5"/>
      <c r="H13" s="5"/>
      <c r="I13" s="5" t="n">
        <f aca="false">SUM(C13:H13)</f>
        <v>0</v>
      </c>
      <c r="J13" s="5" t="n">
        <f aca="false">B13-I13</f>
        <v>0</v>
      </c>
      <c r="K13" s="13"/>
    </row>
    <row r="14" customFormat="false" ht="17.35" hidden="false" customHeight="false" outlineLevel="0" collapsed="false">
      <c r="A14" s="6" t="n">
        <v>10</v>
      </c>
      <c r="B14" s="5"/>
      <c r="C14" s="5"/>
      <c r="D14" s="5"/>
      <c r="E14" s="5"/>
      <c r="F14" s="5"/>
      <c r="G14" s="5"/>
      <c r="H14" s="5"/>
      <c r="I14" s="5" t="n">
        <f aca="false">SUM(C14:H14)</f>
        <v>0</v>
      </c>
      <c r="J14" s="5" t="n">
        <f aca="false">B14-I14</f>
        <v>0</v>
      </c>
      <c r="K14" s="13"/>
    </row>
    <row r="15" customFormat="false" ht="17.35" hidden="false" customHeight="false" outlineLevel="0" collapsed="false">
      <c r="A15" s="6" t="n">
        <v>11</v>
      </c>
      <c r="B15" s="5"/>
      <c r="C15" s="5"/>
      <c r="D15" s="5"/>
      <c r="E15" s="5"/>
      <c r="F15" s="5"/>
      <c r="G15" s="5"/>
      <c r="H15" s="5"/>
      <c r="I15" s="5" t="n">
        <f aca="false">SUM(C15:H15)</f>
        <v>0</v>
      </c>
      <c r="J15" s="5" t="n">
        <f aca="false">B15-I15</f>
        <v>0</v>
      </c>
      <c r="K15" s="13"/>
    </row>
    <row r="16" customFormat="false" ht="17.35" hidden="false" customHeight="false" outlineLevel="0" collapsed="false">
      <c r="A16" s="6" t="n">
        <v>12</v>
      </c>
      <c r="B16" s="5"/>
      <c r="C16" s="5"/>
      <c r="D16" s="5"/>
      <c r="E16" s="5"/>
      <c r="F16" s="5"/>
      <c r="G16" s="5"/>
      <c r="H16" s="5"/>
      <c r="I16" s="5" t="n">
        <f aca="false">SUM(C16:H16)</f>
        <v>0</v>
      </c>
      <c r="J16" s="5" t="n">
        <f aca="false">B16-I16</f>
        <v>0</v>
      </c>
      <c r="K16" s="13"/>
    </row>
    <row r="17" customFormat="false" ht="17.35" hidden="false" customHeight="false" outlineLevel="0" collapsed="false">
      <c r="A17" s="6" t="n">
        <v>13</v>
      </c>
      <c r="B17" s="5"/>
      <c r="C17" s="5"/>
      <c r="D17" s="5"/>
      <c r="E17" s="5"/>
      <c r="F17" s="5"/>
      <c r="G17" s="5"/>
      <c r="H17" s="5"/>
      <c r="I17" s="5" t="n">
        <f aca="false">SUM(C17:H17)</f>
        <v>0</v>
      </c>
      <c r="J17" s="5" t="n">
        <f aca="false">B17-I17</f>
        <v>0</v>
      </c>
      <c r="K17" s="13"/>
    </row>
    <row r="18" customFormat="false" ht="17.35" hidden="false" customHeight="false" outlineLevel="0" collapsed="false">
      <c r="A18" s="6" t="n">
        <v>14</v>
      </c>
      <c r="B18" s="5"/>
      <c r="C18" s="5"/>
      <c r="D18" s="5"/>
      <c r="E18" s="5"/>
      <c r="F18" s="5"/>
      <c r="G18" s="5"/>
      <c r="H18" s="5"/>
      <c r="I18" s="5" t="n">
        <f aca="false">SUM(C18:H18)</f>
        <v>0</v>
      </c>
      <c r="J18" s="5" t="n">
        <f aca="false">B18-I18</f>
        <v>0</v>
      </c>
      <c r="K18" s="13"/>
    </row>
    <row r="19" customFormat="false" ht="17.35" hidden="false" customHeight="false" outlineLevel="0" collapsed="false">
      <c r="A19" s="6" t="n">
        <v>15</v>
      </c>
      <c r="B19" s="5"/>
      <c r="C19" s="5"/>
      <c r="D19" s="5"/>
      <c r="E19" s="5"/>
      <c r="F19" s="5"/>
      <c r="G19" s="5"/>
      <c r="H19" s="5"/>
      <c r="I19" s="5" t="n">
        <f aca="false">SUM(C19:H19)</f>
        <v>0</v>
      </c>
      <c r="J19" s="5" t="n">
        <f aca="false">B19-I19</f>
        <v>0</v>
      </c>
      <c r="K19" s="13"/>
    </row>
    <row r="20" customFormat="false" ht="17.35" hidden="false" customHeight="false" outlineLevel="0" collapsed="false">
      <c r="A20" s="6" t="n">
        <v>16</v>
      </c>
      <c r="B20" s="5"/>
      <c r="C20" s="5"/>
      <c r="D20" s="5"/>
      <c r="E20" s="5"/>
      <c r="F20" s="5"/>
      <c r="G20" s="5"/>
      <c r="H20" s="5"/>
      <c r="I20" s="5" t="n">
        <f aca="false">SUM(C20:H20)</f>
        <v>0</v>
      </c>
      <c r="J20" s="5" t="n">
        <f aca="false">B20-I20</f>
        <v>0</v>
      </c>
      <c r="K20" s="13"/>
    </row>
    <row r="21" customFormat="false" ht="17.35" hidden="false" customHeight="false" outlineLevel="0" collapsed="false">
      <c r="A21" s="6" t="n">
        <v>17</v>
      </c>
      <c r="B21" s="5"/>
      <c r="C21" s="5"/>
      <c r="D21" s="5"/>
      <c r="E21" s="5"/>
      <c r="F21" s="5"/>
      <c r="G21" s="5"/>
      <c r="H21" s="5"/>
      <c r="I21" s="5" t="n">
        <f aca="false">SUM(C21:H21)</f>
        <v>0</v>
      </c>
      <c r="J21" s="5" t="n">
        <f aca="false">B21-I21</f>
        <v>0</v>
      </c>
      <c r="K21" s="13"/>
    </row>
    <row r="22" customFormat="false" ht="17.35" hidden="false" customHeight="false" outlineLevel="0" collapsed="false">
      <c r="A22" s="6" t="n">
        <v>18</v>
      </c>
      <c r="B22" s="5"/>
      <c r="C22" s="5"/>
      <c r="D22" s="5"/>
      <c r="E22" s="5"/>
      <c r="F22" s="5"/>
      <c r="G22" s="5"/>
      <c r="H22" s="5"/>
      <c r="I22" s="5" t="n">
        <f aca="false">SUM(C22:H22)</f>
        <v>0</v>
      </c>
      <c r="J22" s="5" t="n">
        <f aca="false">B22-I22</f>
        <v>0</v>
      </c>
      <c r="K22" s="13"/>
    </row>
    <row r="23" customFormat="false" ht="17.35" hidden="false" customHeight="false" outlineLevel="0" collapsed="false">
      <c r="A23" s="6" t="n">
        <v>19</v>
      </c>
      <c r="B23" s="5"/>
      <c r="C23" s="5"/>
      <c r="D23" s="5"/>
      <c r="E23" s="5"/>
      <c r="F23" s="5"/>
      <c r="G23" s="5"/>
      <c r="H23" s="5"/>
      <c r="I23" s="5" t="n">
        <f aca="false">SUM(C23:H23)</f>
        <v>0</v>
      </c>
      <c r="J23" s="5" t="n">
        <f aca="false">B23-I23</f>
        <v>0</v>
      </c>
      <c r="K23" s="13"/>
    </row>
    <row r="24" customFormat="false" ht="17.35" hidden="false" customHeight="false" outlineLevel="0" collapsed="false">
      <c r="A24" s="6" t="n">
        <v>20</v>
      </c>
      <c r="B24" s="5"/>
      <c r="C24" s="5"/>
      <c r="D24" s="5"/>
      <c r="E24" s="5"/>
      <c r="F24" s="5"/>
      <c r="G24" s="5"/>
      <c r="H24" s="5"/>
      <c r="I24" s="5" t="n">
        <f aca="false">SUM(C24:H24)</f>
        <v>0</v>
      </c>
      <c r="J24" s="5" t="n">
        <f aca="false">B24-I24</f>
        <v>0</v>
      </c>
      <c r="K24" s="13"/>
    </row>
    <row r="25" customFormat="false" ht="17.35" hidden="false" customHeight="false" outlineLevel="0" collapsed="false">
      <c r="A25" s="6" t="n">
        <v>21</v>
      </c>
      <c r="B25" s="5"/>
      <c r="C25" s="5"/>
      <c r="D25" s="5"/>
      <c r="E25" s="5"/>
      <c r="F25" s="5"/>
      <c r="G25" s="5"/>
      <c r="H25" s="5"/>
      <c r="I25" s="5" t="n">
        <f aca="false">SUM(C25:H25)</f>
        <v>0</v>
      </c>
      <c r="J25" s="5" t="n">
        <f aca="false">B25-I25</f>
        <v>0</v>
      </c>
      <c r="K25" s="13"/>
    </row>
    <row r="26" customFormat="false" ht="17.35" hidden="false" customHeight="false" outlineLevel="0" collapsed="false">
      <c r="A26" s="6" t="n">
        <v>22</v>
      </c>
      <c r="B26" s="5"/>
      <c r="C26" s="5"/>
      <c r="D26" s="5"/>
      <c r="E26" s="5"/>
      <c r="F26" s="5"/>
      <c r="G26" s="5"/>
      <c r="H26" s="5"/>
      <c r="I26" s="5" t="n">
        <f aca="false">SUM(C26:H26)</f>
        <v>0</v>
      </c>
      <c r="J26" s="5" t="n">
        <f aca="false">B26-I26</f>
        <v>0</v>
      </c>
      <c r="K26" s="13"/>
    </row>
    <row r="27" customFormat="false" ht="17.35" hidden="false" customHeight="false" outlineLevel="0" collapsed="false">
      <c r="A27" s="6" t="n">
        <v>23</v>
      </c>
      <c r="B27" s="5"/>
      <c r="C27" s="5"/>
      <c r="D27" s="5"/>
      <c r="E27" s="5"/>
      <c r="F27" s="5"/>
      <c r="G27" s="5"/>
      <c r="H27" s="5"/>
      <c r="I27" s="5" t="n">
        <f aca="false">SUM(C27:H27)</f>
        <v>0</v>
      </c>
      <c r="J27" s="5" t="n">
        <f aca="false">B27-I27</f>
        <v>0</v>
      </c>
      <c r="K27" s="13"/>
    </row>
    <row r="28" customFormat="false" ht="17.35" hidden="false" customHeight="false" outlineLevel="0" collapsed="false">
      <c r="A28" s="6" t="n">
        <v>24</v>
      </c>
      <c r="B28" s="5"/>
      <c r="C28" s="5"/>
      <c r="D28" s="5"/>
      <c r="E28" s="5"/>
      <c r="F28" s="5"/>
      <c r="G28" s="5"/>
      <c r="H28" s="5"/>
      <c r="I28" s="5" t="n">
        <f aca="false">SUM(C28:H28)</f>
        <v>0</v>
      </c>
      <c r="J28" s="5" t="n">
        <f aca="false">B28-I28</f>
        <v>0</v>
      </c>
      <c r="K28" s="13"/>
    </row>
    <row r="29" customFormat="false" ht="17.35" hidden="false" customHeight="false" outlineLevel="0" collapsed="false">
      <c r="A29" s="6" t="n">
        <v>25</v>
      </c>
      <c r="B29" s="5"/>
      <c r="C29" s="5"/>
      <c r="D29" s="5"/>
      <c r="E29" s="5"/>
      <c r="F29" s="5"/>
      <c r="G29" s="5"/>
      <c r="H29" s="5"/>
      <c r="I29" s="5" t="n">
        <f aca="false">SUM(C29:H29)</f>
        <v>0</v>
      </c>
      <c r="J29" s="5" t="n">
        <f aca="false">B29-I29</f>
        <v>0</v>
      </c>
      <c r="K29" s="13"/>
    </row>
    <row r="30" customFormat="false" ht="17.35" hidden="false" customHeight="false" outlineLevel="0" collapsed="false">
      <c r="A30" s="6" t="n">
        <v>26</v>
      </c>
      <c r="B30" s="5"/>
      <c r="C30" s="5"/>
      <c r="D30" s="5"/>
      <c r="E30" s="5"/>
      <c r="F30" s="5"/>
      <c r="G30" s="5"/>
      <c r="H30" s="5"/>
      <c r="I30" s="5" t="n">
        <f aca="false">SUM(C30:H30)</f>
        <v>0</v>
      </c>
      <c r="J30" s="5" t="n">
        <f aca="false">B30-I30</f>
        <v>0</v>
      </c>
      <c r="K30" s="13"/>
    </row>
    <row r="31" customFormat="false" ht="17.35" hidden="false" customHeight="false" outlineLevel="0" collapsed="false">
      <c r="A31" s="6" t="n">
        <v>27</v>
      </c>
      <c r="B31" s="5"/>
      <c r="C31" s="5"/>
      <c r="D31" s="5"/>
      <c r="E31" s="5"/>
      <c r="F31" s="5"/>
      <c r="G31" s="5"/>
      <c r="H31" s="5"/>
      <c r="I31" s="5" t="n">
        <f aca="false">SUM(C31:H31)</f>
        <v>0</v>
      </c>
      <c r="J31" s="5" t="n">
        <f aca="false">B31-I31</f>
        <v>0</v>
      </c>
      <c r="K31" s="13"/>
    </row>
    <row r="32" customFormat="false" ht="17.35" hidden="false" customHeight="false" outlineLevel="0" collapsed="false">
      <c r="A32" s="6" t="n">
        <v>28</v>
      </c>
      <c r="B32" s="5"/>
      <c r="C32" s="5"/>
      <c r="D32" s="5"/>
      <c r="E32" s="5"/>
      <c r="F32" s="5"/>
      <c r="G32" s="5"/>
      <c r="H32" s="5"/>
      <c r="I32" s="5" t="n">
        <f aca="false">SUM(C32:H32)</f>
        <v>0</v>
      </c>
      <c r="J32" s="5" t="n">
        <f aca="false">B32-I32</f>
        <v>0</v>
      </c>
      <c r="K32" s="13"/>
    </row>
    <row r="33" customFormat="false" ht="17.35" hidden="false" customHeight="false" outlineLevel="0" collapsed="false">
      <c r="A33" s="6" t="n">
        <v>29</v>
      </c>
      <c r="B33" s="5"/>
      <c r="C33" s="5"/>
      <c r="D33" s="5"/>
      <c r="E33" s="5"/>
      <c r="F33" s="5"/>
      <c r="G33" s="5"/>
      <c r="H33" s="5"/>
      <c r="I33" s="5" t="n">
        <f aca="false">SUM(C33:H33)</f>
        <v>0</v>
      </c>
      <c r="J33" s="5" t="n">
        <f aca="false">B33-I33</f>
        <v>0</v>
      </c>
      <c r="K33" s="13"/>
    </row>
    <row r="34" customFormat="false" ht="17.35" hidden="false" customHeight="false" outlineLevel="0" collapsed="false">
      <c r="A34" s="6" t="n">
        <v>30</v>
      </c>
      <c r="B34" s="5"/>
      <c r="C34" s="5"/>
      <c r="D34" s="5"/>
      <c r="E34" s="5"/>
      <c r="F34" s="5"/>
      <c r="G34" s="5"/>
      <c r="H34" s="5"/>
      <c r="I34" s="5" t="n">
        <f aca="false">SUM(C34:H34)</f>
        <v>0</v>
      </c>
      <c r="J34" s="5" t="n">
        <f aca="false">B34-I34</f>
        <v>0</v>
      </c>
      <c r="K34" s="13"/>
    </row>
    <row r="35" customFormat="false" ht="17.35" hidden="false" customHeight="false" outlineLevel="0" collapsed="false">
      <c r="A35" s="6" t="n">
        <v>31</v>
      </c>
      <c r="B35" s="5"/>
      <c r="C35" s="5"/>
      <c r="D35" s="5"/>
      <c r="E35" s="5"/>
      <c r="F35" s="5"/>
      <c r="G35" s="5"/>
      <c r="H35" s="5"/>
      <c r="I35" s="5" t="n">
        <f aca="false">SUM(C35:H35)</f>
        <v>0</v>
      </c>
      <c r="J35" s="5" t="n">
        <f aca="false">B35-I35</f>
        <v>0</v>
      </c>
      <c r="K35" s="13"/>
    </row>
    <row r="36" customFormat="false" ht="17.35" hidden="false" customHeight="false" outlineLevel="0" collapsed="false">
      <c r="A36" s="9" t="s">
        <v>35</v>
      </c>
      <c r="B36" s="8" t="n">
        <f aca="false">SUM(B5:B35)</f>
        <v>22437</v>
      </c>
      <c r="C36" s="8" t="n">
        <f aca="false">SUM(C5:C35)</f>
        <v>12990</v>
      </c>
      <c r="D36" s="8" t="n">
        <f aca="false">SUM(D5:D35)</f>
        <v>600</v>
      </c>
      <c r="E36" s="8" t="n">
        <f aca="false">SUM(E5:E35)</f>
        <v>500</v>
      </c>
      <c r="F36" s="8" t="n">
        <f aca="false">SUM(F5:F35)</f>
        <v>1000</v>
      </c>
      <c r="G36" s="8" t="n">
        <f aca="false">SUM(G5:G35)</f>
        <v>877</v>
      </c>
      <c r="H36" s="8" t="n">
        <f aca="false">SUM(H5:H35)</f>
        <v>4000</v>
      </c>
      <c r="I36" s="8" t="n">
        <f aca="false">SUM(I5:I35)</f>
        <v>19967</v>
      </c>
      <c r="J36" s="9"/>
      <c r="K36" s="9"/>
    </row>
    <row r="38" customFormat="false" ht="17.35" hidden="false" customHeight="false" outlineLevel="0" collapsed="false">
      <c r="A38" s="14" t="s">
        <v>36</v>
      </c>
      <c r="B38" s="14"/>
      <c r="C38" s="14"/>
      <c r="D38" s="16" t="n">
        <f aca="false">B36</f>
        <v>22437</v>
      </c>
    </row>
    <row r="39" customFormat="false" ht="17.35" hidden="false" customHeight="false" outlineLevel="0" collapsed="false">
      <c r="A39" s="14" t="s">
        <v>37</v>
      </c>
      <c r="B39" s="14"/>
      <c r="C39" s="14"/>
      <c r="D39" s="16" t="n">
        <f aca="false">I36</f>
        <v>19967</v>
      </c>
    </row>
    <row r="40" customFormat="false" ht="17.9" hidden="false" customHeight="false" outlineLevel="0" collapsed="false">
      <c r="A40" s="14" t="s">
        <v>18</v>
      </c>
      <c r="B40" s="14"/>
      <c r="C40" s="14"/>
      <c r="D40" s="17" t="n">
        <f aca="false">D38-D39</f>
        <v>2470</v>
      </c>
    </row>
    <row r="41" customFormat="false" ht="17.9" hidden="false" customHeight="true" outlineLevel="0" collapsed="false">
      <c r="A41" s="2" t="s">
        <v>45</v>
      </c>
      <c r="B41" s="2"/>
      <c r="C41" s="2"/>
      <c r="D41" s="2"/>
      <c r="E41" s="2"/>
      <c r="F41" s="2"/>
      <c r="G41" s="2"/>
      <c r="H41" s="2"/>
      <c r="I41" s="2"/>
      <c r="J41" s="2"/>
      <c r="K41" s="2"/>
    </row>
  </sheetData>
  <mergeCells count="6">
    <mergeCell ref="A1:K1"/>
    <mergeCell ref="A2:K2"/>
    <mergeCell ref="A38:C38"/>
    <mergeCell ref="A39:C39"/>
    <mergeCell ref="A40:C40"/>
    <mergeCell ref="A41:K4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2026-08-06T05:19:55Z</dcterms:created>
  <dc:creator>openpyxl</dc:creator>
  <dc:description/>
  <dc:language>en-US</dc:language>
  <cp:lastModifiedBy/>
  <dcterms:modified xsi:type="dcterms:W3CDTF">2026-08-06T05:19:55Z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